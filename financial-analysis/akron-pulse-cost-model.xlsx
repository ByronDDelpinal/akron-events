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Scenarios" sheetId="3" state="visible" r:id="rId5"/>
    <sheet name="Grant As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<sst xmlns="http://schemas.openxmlformats.org/spreadsheetml/2006/main" count="149" uniqueCount="137">
  <si>
    <t xml:space="preserve">Akron Pulse - Infrastructure Cost Model</t>
  </si>
  <si>
    <t xml:space="preserve">Operating-cost projection across realistic Akron-only demand scenarios. Prepared for grant budgeting.</t>
  </si>
  <si>
    <t xml:space="preserve">HOW TO USE THIS MODEL</t>
  </si>
  <si>
    <t xml:space="preserve">Blue cells are inputs you can change. Black cells are formulas. Green cells pull from another sheet.</t>
  </si>
  <si>
    <t xml:space="preserve">Edit the Assumptions tab (pricing, per-visit resource use) or the Scenarios tab (visitor / embed volumes)</t>
  </si>
  <si>
    <t xml:space="preserve">and every cost figure recalculates automatically.</t>
  </si>
  <si>
    <t xml:space="preserve">TABS</t>
  </si>
  <si>
    <t xml:space="preserve">Assumptions  - vendor pricing &amp; plan limits (2026), and measured per-visit resource consumption.</t>
  </si>
  <si>
    <t xml:space="preserve">Scenarios    - the model: five demand scenarios from launch to a beyond-Akron stress test.</t>
  </si>
  <si>
    <t xml:space="preserve">Grant Ask    - recommended budget figures to put in an application.</t>
  </si>
  <si>
    <t xml:space="preserve">KEY FINDING</t>
  </si>
  <si>
    <t xml:space="preserve">The architecture (CDN-cached app shell, edge-cached first page, lean list payloads, maps gated behind a</t>
  </si>
  <si>
    <t xml:space="preserve">user toggle, reads served directly from Supabase) keeps the marginal cost of each visit and each embed</t>
  </si>
  <si>
    <t xml:space="preserve">impression very small. Across the ENTIRE realistic range of Akron-only demand, projected resource usage</t>
  </si>
  <si>
    <t xml:space="preserve">stays within the included quotas of the $20 Vercel Pro + $25 Supabase Pro plans. The platform is</t>
  </si>
  <si>
    <t xml:space="preserve">effectively flat-cost: roughly $50-110 / month even at the optimistic ceiling for a city of Akron's size.</t>
  </si>
  <si>
    <t xml:space="preserve">ON THE EMBED CONCERN</t>
  </si>
  <si>
    <t xml:space="preserve">An embed impression is cheaper than a normal visit, not more expensive: it loads the same CDN-cached app</t>
  </si>
  <si>
    <t xml:space="preserve">shell (near-zero marginal bandwidth) and one events query, with no map by default. One million embed</t>
  </si>
  <si>
    <t xml:space="preserve">impressions a month consume well under the included Vercel bandwidth and Supabase egress allowances.</t>
  </si>
  <si>
    <t xml:space="preserve">Embeds do not create an uncontrolled cost; see the Scenarios tab, embed lines.</t>
  </si>
  <si>
    <t xml:space="preserve">SCOPE</t>
  </si>
  <si>
    <t xml:space="preserve">Akron-only. No regional/statewide expansion modeled. Demand ceilings are anchored to Akron city (189K),</t>
  </si>
  <si>
    <t xml:space="preserve">Summit County (538K), and observed engaged-audience proxies (Signal Akron's events guide ~30K subscribers).</t>
  </si>
  <si>
    <t xml:space="preserve">Assumptions</t>
  </si>
  <si>
    <t xml:space="preserve">Value</t>
  </si>
  <si>
    <t xml:space="preserve">Unit</t>
  </si>
  <si>
    <t xml:space="preserve">Source / basis</t>
  </si>
  <si>
    <t xml:space="preserve">VENDOR PRICING &amp; PLAN LIMITS (2026)</t>
  </si>
  <si>
    <t xml:space="preserve">Vercel Pro - base</t>
  </si>
  <si>
    <t xml:space="preserve">$/mo</t>
  </si>
  <si>
    <t xml:space="preserve">Vercel pricing 2026 ($20/seat + $20 usage credit). vercel.com/pricing</t>
  </si>
  <si>
    <t xml:space="preserve">Vercel Pro - included bandwidth</t>
  </si>
  <si>
    <t xml:space="preserve">GB/mo</t>
  </si>
  <si>
    <t xml:space="preserve">Pro includes 1 TB bandwidth. vercel.com/pricing</t>
  </si>
  <si>
    <t xml:space="preserve">Vercel - bandwidth overage</t>
  </si>
  <si>
    <t xml:space="preserve">$/GB</t>
  </si>
  <si>
    <t xml:space="preserve">$0.15/GB beyond 1 TB. vercel.com/pricing</t>
  </si>
  <si>
    <t xml:space="preserve">Supabase Pro - base</t>
  </si>
  <si>
    <t xml:space="preserve">Supabase Pro $25/mo. supabase.com/pricing</t>
  </si>
  <si>
    <t xml:space="preserve">Supabase Pro - included egress</t>
  </si>
  <si>
    <t xml:space="preserve">Pro includes 250 GB egress. supabase.com/pricing</t>
  </si>
  <si>
    <t xml:space="preserve">Supabase - egress overage</t>
  </si>
  <si>
    <t xml:space="preserve">$0.09/GB beyond 250 GB. supabase.com/pricing</t>
  </si>
  <si>
    <t xml:space="preserve">Mapbox - free web map loads</t>
  </si>
  <si>
    <t xml:space="preserve">loads/mo</t>
  </si>
  <si>
    <t xml:space="preserve">50,000 free map loads/mo. mapbox.com/pricing</t>
  </si>
  <si>
    <t xml:space="preserve">Mapbox - overage (50K-200K)</t>
  </si>
  <si>
    <t xml:space="preserve">$/1k</t>
  </si>
  <si>
    <t xml:space="preserve">$5 per 1,000 loads; drops to $3/1k above 200K. mapbox.com/pricing</t>
  </si>
  <si>
    <t xml:space="preserve">Transactional email (Resend) - base</t>
  </si>
  <si>
    <t xml:space="preserve">Free 3k emails/mo; digest not yet wired. resend.com/pricing</t>
  </si>
  <si>
    <t xml:space="preserve">Domain (amortized)</t>
  </si>
  <si>
    <t xml:space="preserve">~$20/yr .com registration / renewal.</t>
  </si>
  <si>
    <t xml:space="preserve">Scraper compute (small VPS / scheduler)</t>
  </si>
  <si>
    <t xml:space="preserve">~65 Puppeteer scrapers x2/day; small always-on box.</t>
  </si>
  <si>
    <t xml:space="preserve">Error monitoring</t>
  </si>
  <si>
    <t xml:space="preserve">Sentry / Vercel free tier sufficient at this scale.</t>
  </si>
  <si>
    <t xml:space="preserve">PER-VISIT RESOURCE CONSUMPTION (estimated from codebase)</t>
  </si>
  <si>
    <t xml:space="preserve">Vercel bandwidth - per main-site session</t>
  </si>
  <si>
    <t xml:space="preserve">MB</t>
  </si>
  <si>
    <t xml:space="preserve">App shell CDN-cached; blended new+returning + a few optimized images.</t>
  </si>
  <si>
    <t xml:space="preserve">Supabase egress - per main-site session</t>
  </si>
  <si>
    <t xml:space="preserve">First page edge-cached on Vercel; ~2-4 direct queries, gzipped ~20KB each.</t>
  </si>
  <si>
    <t xml:space="preserve">Mapbox loads - per main-site session</t>
  </si>
  <si>
    <t xml:space="preserve">loads</t>
  </si>
  <si>
    <t xml:space="preserve">Map OFF by default (HomePage view='list'); ~15% of sessions toggle map.</t>
  </si>
  <si>
    <t xml:space="preserve">Vercel bandwidth - per embed impression</t>
  </si>
  <si>
    <t xml:space="preserve">Same CDN-cached shell; iframe, fewer images in view.</t>
  </si>
  <si>
    <t xml:space="preserve">Supabase egress - per embed impression</t>
  </si>
  <si>
    <t xml:space="preserve">Usually one locked-filter list query per impression.</t>
  </si>
  <si>
    <t xml:space="preserve">Mapbox loads - per embed impression</t>
  </si>
  <si>
    <t xml:space="preserve">Embeds default to list; map rarely enabled by partners.</t>
  </si>
  <si>
    <t xml:space="preserve">PLANNING PARAMETERS</t>
  </si>
  <si>
    <t xml:space="preserve">Contingency / overage buffer</t>
  </si>
  <si>
    <t xml:space="preserve">%</t>
  </si>
  <si>
    <t xml:space="preserve">Buffer for spikes, image-optimization, Supabase compute add-on, price changes.</t>
  </si>
  <si>
    <t xml:space="preserve">Maintenance labor (optional line)</t>
  </si>
  <si>
    <t xml:space="preserve">hrs/mo</t>
  </si>
  <si>
    <t xml:space="preserve">Funders often want donated time valued; not a cash cost today.</t>
  </si>
  <si>
    <t xml:space="preserve">Maintenance value rate</t>
  </si>
  <si>
    <t xml:space="preserve">$/hr</t>
  </si>
  <si>
    <t xml:space="preserve">Conservative blended contractor rate.</t>
  </si>
  <si>
    <t xml:space="preserve">Demand Scenarios &amp; Monthly / Annual Cost</t>
  </si>
  <si>
    <t xml:space="preserve">Columns C-F are realistic Akron-only scenarios. Column G is a beyond-Akron stress test to locate the cost cliffs.</t>
  </si>
  <si>
    <t xml:space="preserve">SCENARIO</t>
  </si>
  <si>
    <t xml:space="preserve">Launch (Yr 1)</t>
  </si>
  <si>
    <t xml:space="preserve">Growth</t>
  </si>
  <si>
    <t xml:space="preserve">Mature</t>
  </si>
  <si>
    <t xml:space="preserve">Peak (Akron ceiling)</t>
  </si>
  <si>
    <t xml:space="preserve">Stress (beyond Akron)</t>
  </si>
  <si>
    <t xml:space="preserve">Main-site monthly visitors</t>
  </si>
  <si>
    <t xml:space="preserve">Embed impressions / month</t>
  </si>
  <si>
    <t xml:space="preserve">Embed partner sites</t>
  </si>
  <si>
    <t xml:space="preserve">RESOURCE TOTALS / MONTH</t>
  </si>
  <si>
    <t xml:space="preserve">Vercel bandwidth (GB)</t>
  </si>
  <si>
    <t xml:space="preserve">Supabase egress (GB)</t>
  </si>
  <si>
    <t xml:space="preserve">Mapbox map loads</t>
  </si>
  <si>
    <t xml:space="preserve">Vercel bandwidth - % of 1 TB included</t>
  </si>
  <si>
    <t xml:space="preserve">Supabase egress - % of 250 GB included</t>
  </si>
  <si>
    <t xml:space="preserve">Mapbox loads - % of 50K free</t>
  </si>
  <si>
    <t xml:space="preserve">MONTHLY COST BY SERVICE</t>
  </si>
  <si>
    <t xml:space="preserve">Vercel (hosting + bandwidth + functions)</t>
  </si>
  <si>
    <t xml:space="preserve">Supabase (Postgres + egress)</t>
  </si>
  <si>
    <t xml:space="preserve">Mapbox (maps)</t>
  </si>
  <si>
    <t xml:space="preserve">Transactional email</t>
  </si>
  <si>
    <t xml:space="preserve">Domain</t>
  </si>
  <si>
    <t xml:space="preserve">Scraper compute</t>
  </si>
  <si>
    <t xml:space="preserve">Infrastructure subtotal / month</t>
  </si>
  <si>
    <t xml:space="preserve">Contingency buffer</t>
  </si>
  <si>
    <t xml:space="preserve">TOTAL MONTHLY (infra + buffer)</t>
  </si>
  <si>
    <t xml:space="preserve">TOTAL ANNUAL (infra + buffer)</t>
  </si>
  <si>
    <t xml:space="preserve">OPTIONAL: INCLUDING VALUED MAINTENANCE LABOR</t>
  </si>
  <si>
    <t xml:space="preserve">Maintenance labor (valued)</t>
  </si>
  <si>
    <t xml:space="preserve">TOTAL MONTHLY (infra + buffer + labor)</t>
  </si>
  <si>
    <t xml:space="preserve">TOTAL ANNUAL (infra + buffer + labor)</t>
  </si>
  <si>
    <t xml:space="preserve">Akron context: city 189K, Summit County 538K, Akron MSA 702K. 'Peak' assumes deep penetration of an engaged</t>
  </si>
  <si>
    <t xml:space="preserve">audience (Signal Akron's events guide reports ~30K newsletter subscribers). 'Stress' (1M visits/5M embeds) is far</t>
  </si>
  <si>
    <t xml:space="preserve">beyond what Akron-only demand can produce, shown only to reveal where the first paid overage appears.</t>
  </si>
  <si>
    <t xml:space="preserve">Recommended Grant Budget</t>
  </si>
  <si>
    <t xml:space="preserve">Plan to the 'Mature' scenario so the platform is funded through strong adoption without a mid-grant gap.</t>
  </si>
  <si>
    <t xml:space="preserve">ITEM</t>
  </si>
  <si>
    <t xml:space="preserve">Amount</t>
  </si>
  <si>
    <t xml:space="preserve">Basis</t>
  </si>
  <si>
    <t xml:space="preserve">Annual infrastructure - Mature scenario (infra + buffer)</t>
  </si>
  <si>
    <t xml:space="preserve">Scenarios tab, Mature, annual infra incl. 25% buffer</t>
  </si>
  <si>
    <t xml:space="preserve">Annual infrastructure - Peak / Akron ceiling</t>
  </si>
  <si>
    <t xml:space="preserve">Upper bound if the site saturates Akron demand</t>
  </si>
  <si>
    <t xml:space="preserve">3-year infrastructure (Mature)</t>
  </si>
  <si>
    <t xml:space="preserve">Typical multi-year grant horizon</t>
  </si>
  <si>
    <t xml:space="preserve">Optional: valued maintenance labor / year</t>
  </si>
  <si>
    <t xml:space="preserve">8 hrs/mo @ $50 - donated today, shown for full-cost accounting</t>
  </si>
  <si>
    <t xml:space="preserve">Annual all-in (infra + buffer + labor), Mature</t>
  </si>
  <si>
    <t xml:space="preserve">If the funder wants fully-loaded cost</t>
  </si>
  <si>
    <t xml:space="preserve">3-year all-in (infra + buffer + labor), Mature</t>
  </si>
  <si>
    <t xml:space="preserve">Fully-loaded, multi-year</t>
  </si>
  <si>
    <t xml:space="preserve">HEADLINE FOR THE APPLICATION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</si>
</sst>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;\(#,##0\);\-"/>
    <numFmt numFmtId="167" formatCode="\$#,##0.00;&quot;($&quot;#,##0.00\);\-"/>
    <numFmt numFmtId="168" formatCode="#,##0.00;\(#,##0.00\);\-"/>
    <numFmt numFmtId="169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4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4" t="s">
        <v>7</v>
      </c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4" t="s">
        <v>9</v>
      </c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4" t="s">
        <v>11</v>
      </c>
    </row>
    <row r="18" customFormat="false" ht="15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4" t="s">
        <v>15</v>
      </c>
    </row>
    <row r="23" customFormat="false" ht="15" hidden="false" customHeight="false" outlineLevel="0" collapsed="false">
      <c r="B23" s="3" t="s">
        <v>16</v>
      </c>
    </row>
    <row r="24" customFormat="false" ht="15" hidden="false" customHeight="false" outlineLevel="0" collapsed="false">
      <c r="B24" s="4" t="s">
        <v>17</v>
      </c>
    </row>
    <row r="25" customFormat="false" ht="15" hidden="false" customHeight="false" outlineLevel="0" collapsed="false">
      <c r="B25" s="4" t="s">
        <v>18</v>
      </c>
    </row>
    <row r="26" customFormat="false" ht="15" hidden="false" customHeight="false" outlineLevel="0" collapsed="false">
      <c r="B26" s="4" t="s">
        <v>19</v>
      </c>
    </row>
    <row r="27" customFormat="false" ht="15" hidden="false" customHeight="false" outlineLevel="0" collapsed="false">
      <c r="B27" s="4" t="s">
        <v>20</v>
      </c>
    </row>
    <row r="29" customFormat="false" ht="15" hidden="false" customHeight="false" outlineLevel="0" collapsed="false">
      <c r="B29" s="3" t="s">
        <v>21</v>
      </c>
    </row>
    <row r="30" customFormat="false" ht="15" hidden="false" customHeight="false" outlineLevel="0" collapsed="false">
      <c r="B30" s="4" t="s">
        <v>22</v>
      </c>
    </row>
    <row r="31" customFormat="false" ht="15" hidden="false" customHeight="false" outlineLevel="0" collapsed="false">
      <c r="B31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62"/>
  </cols>
  <sheetData>
    <row r="2" customFormat="false" ht="18.55" hidden="false" customHeight="false" outlineLevel="0" collapsed="false">
      <c r="B2" s="1" t="s">
        <v>24</v>
      </c>
    </row>
    <row r="4" customFormat="false" ht="15" hidden="false" customHeight="false" outlineLevel="0" collapsed="false">
      <c r="C4" s="5" t="s">
        <v>25</v>
      </c>
      <c r="D4" s="6" t="s">
        <v>26</v>
      </c>
      <c r="E4" s="6" t="s">
        <v>27</v>
      </c>
    </row>
    <row r="5" customFormat="false" ht="15" hidden="false" customHeight="false" outlineLevel="0" collapsed="false">
      <c r="B5" s="7" t="s">
        <v>28</v>
      </c>
      <c r="C5" s="7"/>
      <c r="D5" s="7"/>
      <c r="E5" s="7"/>
    </row>
    <row r="6" customFormat="false" ht="15" hidden="false" customHeight="false" outlineLevel="0" collapsed="false">
      <c r="B6" s="8" t="s">
        <v>29</v>
      </c>
      <c r="C6" s="9" t="n">
        <v>20</v>
      </c>
      <c r="D6" s="8" t="s">
        <v>30</v>
      </c>
      <c r="E6" s="10" t="s">
        <v>31</v>
      </c>
    </row>
    <row r="7" customFormat="false" ht="15" hidden="false" customHeight="false" outlineLevel="0" collapsed="false">
      <c r="B7" s="8" t="s">
        <v>32</v>
      </c>
      <c r="C7" s="11" t="n">
        <v>1000</v>
      </c>
      <c r="D7" s="8" t="s">
        <v>33</v>
      </c>
      <c r="E7" s="10" t="s">
        <v>34</v>
      </c>
    </row>
    <row r="8" customFormat="false" ht="15" hidden="false" customHeight="false" outlineLevel="0" collapsed="false">
      <c r="B8" s="8" t="s">
        <v>35</v>
      </c>
      <c r="C8" s="12" t="n">
        <v>0.15</v>
      </c>
      <c r="D8" s="8" t="s">
        <v>36</v>
      </c>
      <c r="E8" s="10" t="s">
        <v>37</v>
      </c>
    </row>
    <row r="9" customFormat="false" ht="15" hidden="false" customHeight="false" outlineLevel="0" collapsed="false">
      <c r="B9" s="8" t="s">
        <v>38</v>
      </c>
      <c r="C9" s="9" t="n">
        <v>25</v>
      </c>
      <c r="D9" s="8" t="s">
        <v>30</v>
      </c>
      <c r="E9" s="10" t="s">
        <v>39</v>
      </c>
    </row>
    <row r="10" customFormat="false" ht="15" hidden="false" customHeight="false" outlineLevel="0" collapsed="false">
      <c r="B10" s="8" t="s">
        <v>40</v>
      </c>
      <c r="C10" s="11" t="n">
        <v>250</v>
      </c>
      <c r="D10" s="8" t="s">
        <v>33</v>
      </c>
      <c r="E10" s="10" t="s">
        <v>41</v>
      </c>
    </row>
    <row r="11" customFormat="false" ht="15" hidden="false" customHeight="false" outlineLevel="0" collapsed="false">
      <c r="B11" s="8" t="s">
        <v>42</v>
      </c>
      <c r="C11" s="12" t="n">
        <v>0.09</v>
      </c>
      <c r="D11" s="8" t="s">
        <v>36</v>
      </c>
      <c r="E11" s="10" t="s">
        <v>43</v>
      </c>
    </row>
    <row r="12" customFormat="false" ht="15" hidden="false" customHeight="false" outlineLevel="0" collapsed="false">
      <c r="B12" s="8" t="s">
        <v>44</v>
      </c>
      <c r="C12" s="11" t="n">
        <v>50000</v>
      </c>
      <c r="D12" s="8" t="s">
        <v>45</v>
      </c>
      <c r="E12" s="10" t="s">
        <v>46</v>
      </c>
    </row>
    <row r="13" customFormat="false" ht="15" hidden="false" customHeight="false" outlineLevel="0" collapsed="false">
      <c r="B13" s="8" t="s">
        <v>47</v>
      </c>
      <c r="C13" s="12" t="n">
        <v>5</v>
      </c>
      <c r="D13" s="8" t="s">
        <v>48</v>
      </c>
      <c r="E13" s="10" t="s">
        <v>49</v>
      </c>
    </row>
    <row r="14" customFormat="false" ht="15" hidden="false" customHeight="false" outlineLevel="0" collapsed="false">
      <c r="B14" s="8" t="s">
        <v>50</v>
      </c>
      <c r="C14" s="9" t="n">
        <v>0</v>
      </c>
      <c r="D14" s="8" t="s">
        <v>30</v>
      </c>
      <c r="E14" s="10" t="s">
        <v>51</v>
      </c>
    </row>
    <row r="15" customFormat="false" ht="15" hidden="false" customHeight="false" outlineLevel="0" collapsed="false">
      <c r="B15" s="8" t="s">
        <v>52</v>
      </c>
      <c r="C15" s="9" t="n">
        <v>1.67</v>
      </c>
      <c r="D15" s="8" t="s">
        <v>30</v>
      </c>
      <c r="E15" s="10" t="s">
        <v>53</v>
      </c>
    </row>
    <row r="16" customFormat="false" ht="15" hidden="false" customHeight="false" outlineLevel="0" collapsed="false">
      <c r="B16" s="8" t="s">
        <v>54</v>
      </c>
      <c r="C16" s="9" t="n">
        <v>12</v>
      </c>
      <c r="D16" s="8" t="s">
        <v>30</v>
      </c>
      <c r="E16" s="10" t="s">
        <v>55</v>
      </c>
    </row>
    <row r="17" customFormat="false" ht="15" hidden="false" customHeight="false" outlineLevel="0" collapsed="false">
      <c r="B17" s="8" t="s">
        <v>56</v>
      </c>
      <c r="C17" s="9" t="n">
        <v>0</v>
      </c>
      <c r="D17" s="8" t="s">
        <v>30</v>
      </c>
      <c r="E17" s="10" t="s">
        <v>57</v>
      </c>
    </row>
    <row r="19" customFormat="false" ht="15" hidden="false" customHeight="false" outlineLevel="0" collapsed="false">
      <c r="B19" s="7" t="s">
        <v>58</v>
      </c>
      <c r="C19" s="7"/>
      <c r="D19" s="7"/>
      <c r="E19" s="7"/>
    </row>
    <row r="20" customFormat="false" ht="15" hidden="false" customHeight="false" outlineLevel="0" collapsed="false">
      <c r="B20" s="8" t="s">
        <v>59</v>
      </c>
      <c r="C20" s="13" t="n">
        <v>0.8</v>
      </c>
      <c r="D20" s="8" t="s">
        <v>60</v>
      </c>
      <c r="E20" s="10" t="s">
        <v>61</v>
      </c>
    </row>
    <row r="21" customFormat="false" ht="15" hidden="false" customHeight="false" outlineLevel="0" collapsed="false">
      <c r="B21" s="8" t="s">
        <v>62</v>
      </c>
      <c r="C21" s="13" t="n">
        <v>0.07</v>
      </c>
      <c r="D21" s="8" t="s">
        <v>60</v>
      </c>
      <c r="E21" s="10" t="s">
        <v>63</v>
      </c>
    </row>
    <row r="22" customFormat="false" ht="15" hidden="false" customHeight="false" outlineLevel="0" collapsed="false">
      <c r="B22" s="8" t="s">
        <v>64</v>
      </c>
      <c r="C22" s="13" t="n">
        <v>0.15</v>
      </c>
      <c r="D22" s="8" t="s">
        <v>65</v>
      </c>
      <c r="E22" s="10" t="s">
        <v>66</v>
      </c>
    </row>
    <row r="23" customFormat="false" ht="15" hidden="false" customHeight="false" outlineLevel="0" collapsed="false">
      <c r="B23" s="8" t="s">
        <v>67</v>
      </c>
      <c r="C23" s="13" t="n">
        <v>0.6</v>
      </c>
      <c r="D23" s="8" t="s">
        <v>60</v>
      </c>
      <c r="E23" s="10" t="s">
        <v>68</v>
      </c>
    </row>
    <row r="24" customFormat="false" ht="15" hidden="false" customHeight="false" outlineLevel="0" collapsed="false">
      <c r="B24" s="8" t="s">
        <v>69</v>
      </c>
      <c r="C24" s="13" t="n">
        <v>0.04</v>
      </c>
      <c r="D24" s="8" t="s">
        <v>60</v>
      </c>
      <c r="E24" s="10" t="s">
        <v>70</v>
      </c>
    </row>
    <row r="25" customFormat="false" ht="15" hidden="false" customHeight="false" outlineLevel="0" collapsed="false">
      <c r="B25" s="8" t="s">
        <v>71</v>
      </c>
      <c r="C25" s="13" t="n">
        <v>0.02</v>
      </c>
      <c r="D25" s="8" t="s">
        <v>65</v>
      </c>
      <c r="E25" s="10" t="s">
        <v>72</v>
      </c>
    </row>
    <row r="27" customFormat="false" ht="15" hidden="false" customHeight="false" outlineLevel="0" collapsed="false">
      <c r="B27" s="7" t="s">
        <v>73</v>
      </c>
      <c r="C27" s="7"/>
      <c r="D27" s="7"/>
      <c r="E27" s="7"/>
    </row>
    <row r="28" customFormat="false" ht="15" hidden="false" customHeight="false" outlineLevel="0" collapsed="false">
      <c r="B28" s="8" t="s">
        <v>74</v>
      </c>
      <c r="C28" s="14" t="n">
        <v>0.25</v>
      </c>
      <c r="D28" s="8" t="s">
        <v>75</v>
      </c>
      <c r="E28" s="10" t="s">
        <v>76</v>
      </c>
    </row>
    <row r="29" customFormat="false" ht="15" hidden="false" customHeight="false" outlineLevel="0" collapsed="false">
      <c r="B29" s="8" t="s">
        <v>77</v>
      </c>
      <c r="C29" s="11" t="n">
        <v>8</v>
      </c>
      <c r="D29" s="8" t="s">
        <v>78</v>
      </c>
      <c r="E29" s="10" t="s">
        <v>79</v>
      </c>
    </row>
    <row r="30" customFormat="false" ht="15" hidden="false" customHeight="false" outlineLevel="0" collapsed="false">
      <c r="B30" s="8" t="s">
        <v>80</v>
      </c>
      <c r="C30" s="11" t="n">
        <v>50</v>
      </c>
      <c r="D30" s="8" t="s">
        <v>81</v>
      </c>
      <c r="E30" s="10" t="s">
        <v>82</v>
      </c>
    </row>
  </sheetData>
  <mergeCells count="3">
    <mergeCell ref="B5:E5"/>
    <mergeCell ref="B19:E19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7" min="3" style="0" width="16"/>
  </cols>
  <sheetData>
    <row r="2" customFormat="false" ht="18.55" hidden="false" customHeight="false" outlineLevel="0" collapsed="false">
      <c r="B2" s="1" t="s">
        <v>83</v>
      </c>
    </row>
    <row r="3" customFormat="false" ht="15" hidden="false" customHeight="false" outlineLevel="0" collapsed="false">
      <c r="B3" s="10" t="s">
        <v>84</v>
      </c>
    </row>
    <row r="5" customFormat="false" ht="23.85" hidden="false" customHeight="false" outlineLevel="0" collapsed="false">
      <c r="B5" s="15" t="s">
        <v>85</v>
      </c>
      <c r="C5" s="16" t="s">
        <v>86</v>
      </c>
      <c r="D5" s="16" t="s">
        <v>87</v>
      </c>
      <c r="E5" s="16" t="s">
        <v>88</v>
      </c>
      <c r="F5" s="16" t="s">
        <v>89</v>
      </c>
      <c r="G5" s="16" t="s">
        <v>90</v>
      </c>
    </row>
    <row r="6" customFormat="false" ht="15" hidden="false" customHeight="false" outlineLevel="0" collapsed="false">
      <c r="B6" s="6" t="s">
        <v>91</v>
      </c>
      <c r="C6" s="11" t="n">
        <v>5000</v>
      </c>
      <c r="D6" s="11" t="n">
        <v>25000</v>
      </c>
      <c r="E6" s="11" t="n">
        <v>75000</v>
      </c>
      <c r="F6" s="11" t="n">
        <v>200000</v>
      </c>
      <c r="G6" s="11" t="n">
        <v>1000000</v>
      </c>
    </row>
    <row r="7" customFormat="false" ht="15" hidden="false" customHeight="false" outlineLevel="0" collapsed="false">
      <c r="B7" s="6" t="s">
        <v>92</v>
      </c>
      <c r="C7" s="11" t="n">
        <v>10000</v>
      </c>
      <c r="D7" s="11" t="n">
        <v>75000</v>
      </c>
      <c r="E7" s="11" t="n">
        <v>250000</v>
      </c>
      <c r="F7" s="11" t="n">
        <v>1000000</v>
      </c>
      <c r="G7" s="11" t="n">
        <v>5000000</v>
      </c>
    </row>
    <row r="8" customFormat="false" ht="15" hidden="false" customHeight="false" outlineLevel="0" collapsed="false">
      <c r="B8" s="6" t="s">
        <v>93</v>
      </c>
      <c r="C8" s="11" t="n">
        <v>3</v>
      </c>
      <c r="D8" s="11" t="n">
        <v>10</v>
      </c>
      <c r="E8" s="11" t="n">
        <v>20</v>
      </c>
      <c r="F8" s="11" t="n">
        <v>40</v>
      </c>
      <c r="G8" s="11" t="n">
        <v>100</v>
      </c>
    </row>
    <row r="10" customFormat="false" ht="15" hidden="false" customHeight="false" outlineLevel="0" collapsed="false">
      <c r="B10" s="7" t="s">
        <v>94</v>
      </c>
      <c r="C10" s="7"/>
      <c r="D10" s="7"/>
      <c r="E10" s="7"/>
      <c r="F10" s="7"/>
      <c r="G10" s="7"/>
    </row>
    <row r="11" customFormat="false" ht="15" hidden="false" customHeight="false" outlineLevel="0" collapsed="false">
      <c r="B11" s="8" t="s">
        <v>95</v>
      </c>
      <c r="C11" s="17" t="n">
        <f aca="false">(C6*Assumptions!$C$20+C7*Assumptions!$C$23)/1024</f>
        <v>9.765625</v>
      </c>
      <c r="D11" s="17" t="n">
        <f aca="false">(D6*Assumptions!$C$20+D7*Assumptions!$C$23)/1024</f>
        <v>63.4765625</v>
      </c>
      <c r="E11" s="17" t="n">
        <f aca="false">(E6*Assumptions!$C$20+E7*Assumptions!$C$23)/1024</f>
        <v>205.078125</v>
      </c>
      <c r="F11" s="17" t="n">
        <f aca="false">(F6*Assumptions!$C$20+F7*Assumptions!$C$23)/1024</f>
        <v>742.1875</v>
      </c>
      <c r="G11" s="17" t="n">
        <f aca="false">(G6*Assumptions!$C$20+G7*Assumptions!$C$23)/1024</f>
        <v>3710.9375</v>
      </c>
    </row>
    <row r="12" customFormat="false" ht="15" hidden="false" customHeight="false" outlineLevel="0" collapsed="false">
      <c r="B12" s="8" t="s">
        <v>96</v>
      </c>
      <c r="C12" s="17" t="n">
        <f aca="false">(C6*Assumptions!$C$21+C7*Assumptions!$C$24)/1024</f>
        <v>0.732421875</v>
      </c>
      <c r="D12" s="17" t="n">
        <f aca="false">(D6*Assumptions!$C$21+D7*Assumptions!$C$24)/1024</f>
        <v>4.638671875</v>
      </c>
      <c r="E12" s="17" t="n">
        <f aca="false">(E6*Assumptions!$C$21+E7*Assumptions!$C$24)/1024</f>
        <v>14.892578125</v>
      </c>
      <c r="F12" s="17" t="n">
        <f aca="false">(F6*Assumptions!$C$21+F7*Assumptions!$C$24)/1024</f>
        <v>52.734375</v>
      </c>
      <c r="G12" s="17" t="n">
        <f aca="false">(G6*Assumptions!$C$21+G7*Assumptions!$C$24)/1024</f>
        <v>263.671875</v>
      </c>
    </row>
    <row r="13" customFormat="false" ht="15" hidden="false" customHeight="false" outlineLevel="0" collapsed="false">
      <c r="B13" s="8" t="s">
        <v>97</v>
      </c>
      <c r="C13" s="18" t="n">
        <f aca="false">C6*Assumptions!$C$22+C7*Assumptions!$C$25</f>
        <v>950</v>
      </c>
      <c r="D13" s="18" t="n">
        <f aca="false">D6*Assumptions!$C$22+D7*Assumptions!$C$25</f>
        <v>5250</v>
      </c>
      <c r="E13" s="18" t="n">
        <f aca="false">E6*Assumptions!$C$22+E7*Assumptions!$C$25</f>
        <v>16250</v>
      </c>
      <c r="F13" s="18" t="n">
        <f aca="false">F6*Assumptions!$C$22+F7*Assumptions!$C$25</f>
        <v>50000</v>
      </c>
      <c r="G13" s="18" t="n">
        <f aca="false">G6*Assumptions!$C$22+G7*Assumptions!$C$25</f>
        <v>250000</v>
      </c>
    </row>
    <row r="14" customFormat="false" ht="15" hidden="false" customHeight="false" outlineLevel="0" collapsed="false">
      <c r="B14" s="19" t="s">
        <v>98</v>
      </c>
      <c r="C14" s="20" t="n">
        <f aca="false">C11/Assumptions!$C$7</f>
        <v>0.009765625</v>
      </c>
      <c r="D14" s="20" t="n">
        <f aca="false">D11/Assumptions!$C$7</f>
        <v>0.0634765625</v>
      </c>
      <c r="E14" s="20" t="n">
        <f aca="false">E11/Assumptions!$C$7</f>
        <v>0.205078125</v>
      </c>
      <c r="F14" s="20" t="n">
        <f aca="false">F11/Assumptions!$C$7</f>
        <v>0.7421875</v>
      </c>
      <c r="G14" s="20" t="n">
        <f aca="false">G11/Assumptions!$C$7</f>
        <v>3.7109375</v>
      </c>
    </row>
    <row r="15" customFormat="false" ht="15" hidden="false" customHeight="false" outlineLevel="0" collapsed="false">
      <c r="B15" s="19" t="s">
        <v>99</v>
      </c>
      <c r="C15" s="20" t="n">
        <f aca="false">C12/Assumptions!$C$10</f>
        <v>0.0029296875</v>
      </c>
      <c r="D15" s="20" t="n">
        <f aca="false">D12/Assumptions!$C$10</f>
        <v>0.0185546875</v>
      </c>
      <c r="E15" s="20" t="n">
        <f aca="false">E12/Assumptions!$C$10</f>
        <v>0.0595703125</v>
      </c>
      <c r="F15" s="20" t="n">
        <f aca="false">F12/Assumptions!$C$10</f>
        <v>0.2109375</v>
      </c>
      <c r="G15" s="20" t="n">
        <f aca="false">G12/Assumptions!$C$10</f>
        <v>1.0546875</v>
      </c>
    </row>
    <row r="16" customFormat="false" ht="15" hidden="false" customHeight="false" outlineLevel="0" collapsed="false">
      <c r="B16" s="19" t="s">
        <v>100</v>
      </c>
      <c r="C16" s="20" t="n">
        <f aca="false">C13/Assumptions!$C$12</f>
        <v>0.019</v>
      </c>
      <c r="D16" s="20" t="n">
        <f aca="false">D13/Assumptions!$C$12</f>
        <v>0.105</v>
      </c>
      <c r="E16" s="20" t="n">
        <f aca="false">E13/Assumptions!$C$12</f>
        <v>0.325</v>
      </c>
      <c r="F16" s="20" t="n">
        <f aca="false">F13/Assumptions!$C$12</f>
        <v>1</v>
      </c>
      <c r="G16" s="20" t="n">
        <f aca="false">G13/Assumptions!$C$12</f>
        <v>5</v>
      </c>
    </row>
    <row r="18" customFormat="false" ht="15" hidden="false" customHeight="false" outlineLevel="0" collapsed="false">
      <c r="B18" s="7" t="s">
        <v>101</v>
      </c>
      <c r="C18" s="7"/>
      <c r="D18" s="7"/>
      <c r="E18" s="7"/>
      <c r="F18" s="7"/>
      <c r="G18" s="7"/>
    </row>
    <row r="19" customFormat="false" ht="15" hidden="false" customHeight="false" outlineLevel="0" collapsed="false">
      <c r="B19" s="8" t="s">
        <v>102</v>
      </c>
      <c r="C19" s="21" t="n">
        <f aca="false">Assumptions!$C$6+MAX(0,C11-Assumptions!$C$7)*Assumptions!$C$8</f>
        <v>20</v>
      </c>
      <c r="D19" s="21" t="n">
        <f aca="false">Assumptions!$C$6+MAX(0,D11-Assumptions!$C$7)*Assumptions!$C$8</f>
        <v>20</v>
      </c>
      <c r="E19" s="21" t="n">
        <f aca="false">Assumptions!$C$6+MAX(0,E11-Assumptions!$C$7)*Assumptions!$C$8</f>
        <v>20</v>
      </c>
      <c r="F19" s="21" t="n">
        <f aca="false">Assumptions!$C$6+MAX(0,F11-Assumptions!$C$7)*Assumptions!$C$8</f>
        <v>20</v>
      </c>
      <c r="G19" s="21" t="n">
        <f aca="false">Assumptions!$C$6+MAX(0,G11-Assumptions!$C$7)*Assumptions!$C$8</f>
        <v>426.640625</v>
      </c>
    </row>
    <row r="20" customFormat="false" ht="15" hidden="false" customHeight="false" outlineLevel="0" collapsed="false">
      <c r="B20" s="8" t="s">
        <v>103</v>
      </c>
      <c r="C20" s="21" t="n">
        <f aca="false">Assumptions!$C$9+MAX(0,C12-Assumptions!$C$10)*Assumptions!$C$11</f>
        <v>25</v>
      </c>
      <c r="D20" s="21" t="n">
        <f aca="false">Assumptions!$C$9+MAX(0,D12-Assumptions!$C$10)*Assumptions!$C$11</f>
        <v>25</v>
      </c>
      <c r="E20" s="21" t="n">
        <f aca="false">Assumptions!$C$9+MAX(0,E12-Assumptions!$C$10)*Assumptions!$C$11</f>
        <v>25</v>
      </c>
      <c r="F20" s="21" t="n">
        <f aca="false">Assumptions!$C$9+MAX(0,F12-Assumptions!$C$10)*Assumptions!$C$11</f>
        <v>25</v>
      </c>
      <c r="G20" s="21" t="n">
        <f aca="false">Assumptions!$C$9+MAX(0,G12-Assumptions!$C$10)*Assumptions!$C$11</f>
        <v>26.23046875</v>
      </c>
    </row>
    <row r="21" customFormat="false" ht="15" hidden="false" customHeight="false" outlineLevel="0" collapsed="false">
      <c r="B21" s="8" t="s">
        <v>104</v>
      </c>
      <c r="C21" s="21" t="n">
        <f aca="false">MAX(0,C13-Assumptions!$C$12)/1000*Assumptions!$C$13</f>
        <v>0</v>
      </c>
      <c r="D21" s="21" t="n">
        <f aca="false">MAX(0,D13-Assumptions!$C$12)/1000*Assumptions!$C$13</f>
        <v>0</v>
      </c>
      <c r="E21" s="21" t="n">
        <f aca="false">MAX(0,E13-Assumptions!$C$12)/1000*Assumptions!$C$13</f>
        <v>0</v>
      </c>
      <c r="F21" s="21" t="n">
        <f aca="false">MAX(0,F13-Assumptions!$C$12)/1000*Assumptions!$C$13</f>
        <v>0</v>
      </c>
      <c r="G21" s="21" t="n">
        <f aca="false">MAX(0,G13-Assumptions!$C$12)/1000*Assumptions!$C$13</f>
        <v>1000</v>
      </c>
    </row>
    <row r="22" customFormat="false" ht="15" hidden="false" customHeight="false" outlineLevel="0" collapsed="false">
      <c r="B22" s="8" t="s">
        <v>105</v>
      </c>
      <c r="C22" s="21" t="n">
        <f aca="false">Assumptions!$C$14</f>
        <v>0</v>
      </c>
      <c r="D22" s="21" t="n">
        <f aca="false">Assumptions!$C$14</f>
        <v>0</v>
      </c>
      <c r="E22" s="21" t="n">
        <f aca="false">Assumptions!$C$14</f>
        <v>0</v>
      </c>
      <c r="F22" s="21" t="n">
        <f aca="false">Assumptions!$C$14</f>
        <v>0</v>
      </c>
      <c r="G22" s="21" t="n">
        <f aca="false">Assumptions!$C$14</f>
        <v>0</v>
      </c>
    </row>
    <row r="23" customFormat="false" ht="15" hidden="false" customHeight="false" outlineLevel="0" collapsed="false">
      <c r="B23" s="8" t="s">
        <v>106</v>
      </c>
      <c r="C23" s="21" t="n">
        <f aca="false">Assumptions!$C$15</f>
        <v>1.67</v>
      </c>
      <c r="D23" s="21" t="n">
        <f aca="false">Assumptions!$C$15</f>
        <v>1.67</v>
      </c>
      <c r="E23" s="21" t="n">
        <f aca="false">Assumptions!$C$15</f>
        <v>1.67</v>
      </c>
      <c r="F23" s="21" t="n">
        <f aca="false">Assumptions!$C$15</f>
        <v>1.67</v>
      </c>
      <c r="G23" s="21" t="n">
        <f aca="false">Assumptions!$C$15</f>
        <v>1.67</v>
      </c>
    </row>
    <row r="24" customFormat="false" ht="15" hidden="false" customHeight="false" outlineLevel="0" collapsed="false">
      <c r="B24" s="8" t="s">
        <v>107</v>
      </c>
      <c r="C24" s="21" t="n">
        <f aca="false">Assumptions!$C$16</f>
        <v>12</v>
      </c>
      <c r="D24" s="21" t="n">
        <f aca="false">Assumptions!$C$16</f>
        <v>12</v>
      </c>
      <c r="E24" s="21" t="n">
        <f aca="false">Assumptions!$C$16</f>
        <v>12</v>
      </c>
      <c r="F24" s="21" t="n">
        <f aca="false">Assumptions!$C$16</f>
        <v>12</v>
      </c>
      <c r="G24" s="21" t="n">
        <f aca="false">Assumptions!$C$16</f>
        <v>12</v>
      </c>
    </row>
    <row r="25" customFormat="false" ht="15" hidden="false" customHeight="false" outlineLevel="0" collapsed="false">
      <c r="B25" s="8" t="s">
        <v>56</v>
      </c>
      <c r="C25" s="21" t="n">
        <f aca="false">Assumptions!$C$17</f>
        <v>0</v>
      </c>
      <c r="D25" s="21" t="n">
        <f aca="false">Assumptions!$C$17</f>
        <v>0</v>
      </c>
      <c r="E25" s="21" t="n">
        <f aca="false">Assumptions!$C$17</f>
        <v>0</v>
      </c>
      <c r="F25" s="21" t="n">
        <f aca="false">Assumptions!$C$17</f>
        <v>0</v>
      </c>
      <c r="G25" s="21" t="n">
        <f aca="false">Assumptions!$C$17</f>
        <v>0</v>
      </c>
    </row>
    <row r="27" customFormat="false" ht="15" hidden="false" customHeight="false" outlineLevel="0" collapsed="false">
      <c r="B27" s="6" t="s">
        <v>108</v>
      </c>
      <c r="C27" s="22" t="n">
        <f aca="false">SUM(C19:C25)</f>
        <v>58.67</v>
      </c>
      <c r="D27" s="22" t="n">
        <f aca="false">SUM(D19:D25)</f>
        <v>58.67</v>
      </c>
      <c r="E27" s="22" t="n">
        <f aca="false">SUM(E19:E25)</f>
        <v>58.67</v>
      </c>
      <c r="F27" s="22" t="n">
        <f aca="false">SUM(F19:F25)</f>
        <v>58.67</v>
      </c>
      <c r="G27" s="22" t="n">
        <f aca="false">SUM(G19:G25)</f>
        <v>1466.54109375</v>
      </c>
    </row>
    <row r="28" customFormat="false" ht="15" hidden="false" customHeight="false" outlineLevel="0" collapsed="false">
      <c r="B28" s="8" t="s">
        <v>109</v>
      </c>
      <c r="C28" s="23" t="n">
        <f aca="false">C27*Assumptions!$C$28</f>
        <v>14.6675</v>
      </c>
      <c r="D28" s="23" t="n">
        <f aca="false">D27*Assumptions!$C$28</f>
        <v>14.6675</v>
      </c>
      <c r="E28" s="23" t="n">
        <f aca="false">E27*Assumptions!$C$28</f>
        <v>14.6675</v>
      </c>
      <c r="F28" s="23" t="n">
        <f aca="false">F27*Assumptions!$C$28</f>
        <v>14.6675</v>
      </c>
      <c r="G28" s="23" t="n">
        <f aca="false">G27*Assumptions!$C$28</f>
        <v>366.6352734375</v>
      </c>
    </row>
    <row r="29" customFormat="false" ht="15" hidden="false" customHeight="false" outlineLevel="0" collapsed="false">
      <c r="B29" s="24" t="s">
        <v>110</v>
      </c>
      <c r="C29" s="25" t="n">
        <f aca="false">C27+C28</f>
        <v>73.3375</v>
      </c>
      <c r="D29" s="25" t="n">
        <f aca="false">D27+D28</f>
        <v>73.3375</v>
      </c>
      <c r="E29" s="25" t="n">
        <f aca="false">E27+E28</f>
        <v>73.3375</v>
      </c>
      <c r="F29" s="25" t="n">
        <f aca="false">F27+F28</f>
        <v>73.3375</v>
      </c>
      <c r="G29" s="25" t="n">
        <f aca="false">G27+G28</f>
        <v>1833.1763671875</v>
      </c>
    </row>
    <row r="30" customFormat="false" ht="15" hidden="false" customHeight="false" outlineLevel="0" collapsed="false">
      <c r="B30" s="24" t="s">
        <v>111</v>
      </c>
      <c r="C30" s="25" t="n">
        <f aca="false">C29*12</f>
        <v>880.05</v>
      </c>
      <c r="D30" s="25" t="n">
        <f aca="false">D29*12</f>
        <v>880.05</v>
      </c>
      <c r="E30" s="25" t="n">
        <f aca="false">E29*12</f>
        <v>880.05</v>
      </c>
      <c r="F30" s="25" t="n">
        <f aca="false">F29*12</f>
        <v>880.05</v>
      </c>
      <c r="G30" s="25" t="n">
        <f aca="false">G29*12</f>
        <v>21998.11640625</v>
      </c>
    </row>
    <row r="32" customFormat="false" ht="15" hidden="false" customHeight="false" outlineLevel="0" collapsed="false">
      <c r="B32" s="7" t="s">
        <v>112</v>
      </c>
      <c r="C32" s="7"/>
      <c r="D32" s="7"/>
      <c r="E32" s="7"/>
      <c r="F32" s="7"/>
      <c r="G32" s="7"/>
    </row>
    <row r="33" customFormat="false" ht="15" hidden="false" customHeight="false" outlineLevel="0" collapsed="false">
      <c r="B33" s="8" t="s">
        <v>113</v>
      </c>
      <c r="C33" s="23" t="n">
        <f aca="false">Assumptions!$C$29*Assumptions!$C$30</f>
        <v>400</v>
      </c>
      <c r="D33" s="23" t="n">
        <f aca="false">Assumptions!$C$29*Assumptions!$C$30</f>
        <v>400</v>
      </c>
      <c r="E33" s="23" t="n">
        <f aca="false">Assumptions!$C$29*Assumptions!$C$30</f>
        <v>400</v>
      </c>
      <c r="F33" s="23" t="n">
        <f aca="false">Assumptions!$C$29*Assumptions!$C$30</f>
        <v>400</v>
      </c>
      <c r="G33" s="23" t="n">
        <f aca="false">Assumptions!$C$29*Assumptions!$C$30</f>
        <v>400</v>
      </c>
    </row>
    <row r="34" customFormat="false" ht="15" hidden="false" customHeight="false" outlineLevel="0" collapsed="false">
      <c r="B34" s="26" t="s">
        <v>114</v>
      </c>
      <c r="C34" s="27" t="n">
        <f aca="false">C29+C33</f>
        <v>473.3375</v>
      </c>
      <c r="D34" s="27" t="n">
        <f aca="false">D29+D33</f>
        <v>473.3375</v>
      </c>
      <c r="E34" s="27" t="n">
        <f aca="false">E29+E33</f>
        <v>473.3375</v>
      </c>
      <c r="F34" s="27" t="n">
        <f aca="false">F29+F33</f>
        <v>473.3375</v>
      </c>
      <c r="G34" s="27" t="n">
        <f aca="false">G29+G33</f>
        <v>2233.1763671875</v>
      </c>
    </row>
    <row r="35" customFormat="false" ht="15" hidden="false" customHeight="false" outlineLevel="0" collapsed="false">
      <c r="B35" s="26" t="s">
        <v>115</v>
      </c>
      <c r="C35" s="27" t="n">
        <f aca="false">C34*12</f>
        <v>5680.05</v>
      </c>
      <c r="D35" s="27" t="n">
        <f aca="false">D34*12</f>
        <v>5680.05</v>
      </c>
      <c r="E35" s="27" t="n">
        <f aca="false">E34*12</f>
        <v>5680.05</v>
      </c>
      <c r="F35" s="27" t="n">
        <f aca="false">F34*12</f>
        <v>5680.05</v>
      </c>
      <c r="G35" s="27" t="n">
        <f aca="false">G34*12</f>
        <v>26798.11640625</v>
      </c>
    </row>
    <row r="37" customFormat="false" ht="15" hidden="false" customHeight="false" outlineLevel="0" collapsed="false">
      <c r="B37" s="10" t="s">
        <v>116</v>
      </c>
    </row>
    <row r="38" customFormat="false" ht="15" hidden="false" customHeight="false" outlineLevel="0" collapsed="false">
      <c r="B38" s="10" t="s">
        <v>117</v>
      </c>
    </row>
    <row r="39" customFormat="false" ht="15" hidden="false" customHeight="false" outlineLevel="0" collapsed="false">
      <c r="B39" s="10" t="s">
        <v>118</v>
      </c>
    </row>
  </sheetData>
  <mergeCells count="3">
    <mergeCell ref="B10:G10"/>
    <mergeCell ref="B18:G18"/>
    <mergeCell ref="B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52"/>
  </cols>
  <sheetData>
    <row r="2" customFormat="false" ht="18.55" hidden="false" customHeight="false" outlineLevel="0" collapsed="false">
      <c r="B2" s="1" t="s">
        <v>119</v>
      </c>
    </row>
    <row r="3" customFormat="false" ht="15" hidden="false" customHeight="false" outlineLevel="0" collapsed="false">
      <c r="B3" s="10" t="s">
        <v>120</v>
      </c>
    </row>
    <row r="5" customFormat="false" ht="15" hidden="false" customHeight="false" outlineLevel="0" collapsed="false">
      <c r="B5" s="15" t="s">
        <v>121</v>
      </c>
      <c r="C5" s="28" t="s">
        <v>122</v>
      </c>
      <c r="D5" s="29" t="s">
        <v>123</v>
      </c>
    </row>
    <row r="6" customFormat="false" ht="15" hidden="false" customHeight="false" outlineLevel="0" collapsed="false">
      <c r="B6" s="6" t="s">
        <v>124</v>
      </c>
      <c r="C6" s="30" t="n">
        <f aca="false">Scenarios!E30</f>
        <v>880.05</v>
      </c>
      <c r="D6" s="10" t="s">
        <v>125</v>
      </c>
    </row>
    <row r="7" customFormat="false" ht="15" hidden="false" customHeight="false" outlineLevel="0" collapsed="false">
      <c r="B7" s="8" t="s">
        <v>126</v>
      </c>
      <c r="C7" s="30" t="n">
        <f aca="false">Scenarios!F30</f>
        <v>880.05</v>
      </c>
      <c r="D7" s="10" t="s">
        <v>127</v>
      </c>
    </row>
    <row r="8" customFormat="false" ht="15" hidden="false" customHeight="false" outlineLevel="0" collapsed="false">
      <c r="B8" s="8" t="s">
        <v>128</v>
      </c>
      <c r="C8" s="30" t="n">
        <f aca="false">Scenarios!E30*3</f>
        <v>2640.15</v>
      </c>
      <c r="D8" s="10" t="s">
        <v>129</v>
      </c>
    </row>
    <row r="10" customFormat="false" ht="15" hidden="false" customHeight="false" outlineLevel="0" collapsed="false">
      <c r="B10" s="8" t="s">
        <v>130</v>
      </c>
      <c r="C10" s="30" t="n">
        <f aca="false">Scenarios!E33*12</f>
        <v>4800</v>
      </c>
      <c r="D10" s="10" t="s">
        <v>131</v>
      </c>
    </row>
    <row r="11" customFormat="false" ht="15" hidden="false" customHeight="false" outlineLevel="0" collapsed="false">
      <c r="B11" s="6" t="s">
        <v>132</v>
      </c>
      <c r="C11" s="30" t="n">
        <f aca="false">Scenarios!E35</f>
        <v>5680.05</v>
      </c>
      <c r="D11" s="10" t="s">
        <v>133</v>
      </c>
    </row>
    <row r="12" customFormat="false" ht="15" hidden="false" customHeight="false" outlineLevel="0" collapsed="false">
      <c r="B12" s="6" t="s">
        <v>134</v>
      </c>
      <c r="C12" s="30" t="n">
        <f aca="false">Scenarios!E35*3</f>
        <v>17040.15</v>
      </c>
      <c r="D12" s="10" t="s">
        <v>135</v>
      </c>
    </row>
    <row r="14" customFormat="false" ht="15" hidden="false" customHeight="false" outlineLevel="0" collapsed="false">
      <c r="B14" s="7" t="s">
        <v>136</v>
      </c>
      <c r="C14" s="7"/>
      <c r="D14" s="7"/>
    </row>
    <row r="15" customFormat="false" ht="15" hidden="false" customHeight="false" outlineLevel="0" collapsed="false">
      <c r="B15" s="31" t="str">
        <f aca="false">"Recommended annual operating budget: "&amp;TEXT(Scenarios!E30,"$#,##0")&amp;" (infrastructure incl. contingency, Mature scenario)."</f>
        <v>Recommended annual operating budget: $880 (infrastructure incl. contingency, Mature scenario).</v>
      </c>
      <c r="C15" s="31"/>
      <c r="D15" s="31"/>
    </row>
    <row r="16" customFormat="false" ht="15" hidden="false" customHeight="false" outlineLevel="0" collapsed="false">
      <c r="B16" s="32" t="str">
        <f aca="false">"Even at the optimistic Akron ceiling the figure is "&amp;TEXT(Scenarios!F30,"$#,##0")&amp;"/yr; the platform is effectively flat-cost."</f>
        <v>Even at the optimistic Akron ceiling the figure is $880/yr; the platform is effectively flat-cost.</v>
      </c>
      <c r="C16" s="32"/>
      <c r="D16" s="32"/>
    </row>
  </sheetData>
  <mergeCells count="3">
    <mergeCell ref="B14:D14"/>
    <mergeCell ref="B15:D15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2026-06-19T03:01:23Z</dcterms:created>
  <dc:creator>openpyxl</dc:creator>
  <dc:description/>
  <dc:language>en-US</dc:language>
  <cp:lastModifiedBy/>
  <dcterms:modified xsi:type="dcterms:W3CDTF">2026-06-19T03:01:23Z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